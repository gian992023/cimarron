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hackaton\entregables\"/>
    </mc:Choice>
  </mc:AlternateContent>
  <xr:revisionPtr revIDLastSave="0" documentId="13_ncr:1_{FA243470-08DC-42A2-8397-39861C91C4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Sectores" sheetId="2" r:id="rId2"/>
    <sheet name="Catalogo" sheetId="3" r:id="rId3"/>
    <sheet name="Negocios" sheetId="4" r:id="rId4"/>
    <sheet name="Sellos Llaneros" sheetId="5" r:id="rId5"/>
    <sheet name="Herramientas IA" sheetId="6" r:id="rId6"/>
    <sheet name="Tecnologia" sheetId="7" r:id="rId7"/>
    <sheet name="Rubrica" sheetId="8" r:id="rId8"/>
    <sheet name="Impacto" sheetId="9" r:id="rId9"/>
    <sheet name="Hoja de rut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8" l="1"/>
  <c r="G7" i="2"/>
  <c r="F7" i="2"/>
  <c r="E7" i="2"/>
  <c r="D7" i="2"/>
  <c r="G6" i="2"/>
  <c r="F6" i="2"/>
  <c r="E6" i="2"/>
  <c r="D6" i="2"/>
  <c r="G5" i="2"/>
  <c r="F5" i="2"/>
  <c r="E5" i="2"/>
  <c r="D5" i="2"/>
  <c r="F8" i="2" l="1"/>
  <c r="G8" i="2"/>
  <c r="E8" i="2"/>
  <c r="D8" i="2"/>
</calcChain>
</file>

<file path=xl/sharedStrings.xml><?xml version="1.0" encoding="utf-8"?>
<sst xmlns="http://schemas.openxmlformats.org/spreadsheetml/2006/main" count="489" uniqueCount="310">
  <si>
    <t>CIMARRON  ·  ficha del proyecto</t>
  </si>
  <si>
    <t>Agente de IA para la cadena productiva y cultural no petrolera de Casanare</t>
  </si>
  <si>
    <t>Reto</t>
  </si>
  <si>
    <t>Casanare Diversifica (Hackathon Regional Casanare, Colombia 5.0)</t>
  </si>
  <si>
    <t>Organiza</t>
  </si>
  <si>
    <t>MinTIC, TEVEANDINA S.A.S., Universidad Distrital Francisco Jose de Caldas</t>
  </si>
  <si>
    <t>Equipo</t>
  </si>
  <si>
    <t>[NOMBRE DEL EQUIPO] - completar con los 4 integrantes</t>
  </si>
  <si>
    <t>Que es</t>
  </si>
  <si>
    <t>Plataforma web operada por un agente de IA que conecta negocios no petroleros de Casanare con sus clientes, en tres sectores: comercio, turismo y agro.</t>
  </si>
  <si>
    <t>Sectores</t>
  </si>
  <si>
    <t>Comercio (pedido) · Turismo (reserva) · Agropecuario (agendamiento)</t>
  </si>
  <si>
    <t>Diferencial</t>
  </si>
  <si>
    <t>Un solo agente atiende cliente y productor, y certifica el origen (Sello Llanero) en el mismo flujo.</t>
  </si>
  <si>
    <t>Pago</t>
  </si>
  <si>
    <t>Bre-B por llave con QR y referencia unica por solicitud.</t>
  </si>
  <si>
    <t>Estado</t>
  </si>
  <si>
    <t>Prototipo funcional (mock en memoria). Demo publica y servidor local con IA.</t>
  </si>
  <si>
    <t>Demo publica</t>
  </si>
  <si>
    <t>https://gian992023.github.io/cimarron/</t>
  </si>
  <si>
    <t>Codigo</t>
  </si>
  <si>
    <t>https://github.com/gian992023/cimarron</t>
  </si>
  <si>
    <t>Negocios de ejemplo</t>
  </si>
  <si>
    <t>Items de ejemplo</t>
  </si>
  <si>
    <t>Sellos en cadena</t>
  </si>
  <si>
    <t>Herramientas del agente</t>
  </si>
  <si>
    <t>Los tres sectores</t>
  </si>
  <si>
    <t>Los conteos se calculan con formulas sobre las hojas Catalogo y Negocios</t>
  </si>
  <si>
    <t>Sector</t>
  </si>
  <si>
    <t>Flujo</t>
  </si>
  <si>
    <t>Que cubre</t>
  </si>
  <si>
    <t>Negocios</t>
  </si>
  <si>
    <t>Items</t>
  </si>
  <si>
    <t>Productos</t>
  </si>
  <si>
    <t>Servicios</t>
  </si>
  <si>
    <t>Comercio</t>
  </si>
  <si>
    <t>Pedido con domicilio (geocerca)</t>
  </si>
  <si>
    <t>Tiendas y oficios: artesania, gastronomia, viveres</t>
  </si>
  <si>
    <t>Turismo</t>
  </si>
  <si>
    <t>Reserva (fecha + personas)</t>
  </si>
  <si>
    <t>Alojamiento, planes, pasadias y consumibles</t>
  </si>
  <si>
    <t>Agropecuario</t>
  </si>
  <si>
    <t>Agendamiento (fecha; cobertura si es a finca)</t>
  </si>
  <si>
    <t>Insumos y servicios de campo y veterinarios</t>
  </si>
  <si>
    <t>Total</t>
  </si>
  <si>
    <t>Catalogo completo (mock)</t>
  </si>
  <si>
    <t>21 items reales de ejemplo. Reemplazar por datos reales antes del pitch.</t>
  </si>
  <si>
    <t>Negocio</t>
  </si>
  <si>
    <t>Municipio</t>
  </si>
  <si>
    <t>Tipo</t>
  </si>
  <si>
    <t>Modalidad</t>
  </si>
  <si>
    <t>Item</t>
  </si>
  <si>
    <t>Precio (COP)</t>
  </si>
  <si>
    <t>Unidad</t>
  </si>
  <si>
    <t>Categoria</t>
  </si>
  <si>
    <t>Sello</t>
  </si>
  <si>
    <t>comercio</t>
  </si>
  <si>
    <t>Tejidos El Moriche</t>
  </si>
  <si>
    <t>Yopal</t>
  </si>
  <si>
    <t>producto</t>
  </si>
  <si>
    <t>Chinchorro de moriche</t>
  </si>
  <si>
    <t>unidad</t>
  </si>
  <si>
    <t>artesania</t>
  </si>
  <si>
    <t>pedido</t>
  </si>
  <si>
    <t>LLA (ej.)</t>
  </si>
  <si>
    <t>Sombrero llanero en palma</t>
  </si>
  <si>
    <t>Asadero La Llanerita</t>
  </si>
  <si>
    <t>Ternera a la llanera (porcion)</t>
  </si>
  <si>
    <t>porcion</t>
  </si>
  <si>
    <t>gastronomia</t>
  </si>
  <si>
    <t>Hayaca llanera</t>
  </si>
  <si>
    <t>Lacteos El Corozo</t>
  </si>
  <si>
    <t>Aguazul</t>
  </si>
  <si>
    <t>Queso llanero de finca (libra)</t>
  </si>
  <si>
    <t>libra</t>
  </si>
  <si>
    <t>viveres</t>
  </si>
  <si>
    <t>Cuajada fresca (libra)</t>
  </si>
  <si>
    <t>turismo</t>
  </si>
  <si>
    <t>Hato La Aurora Experiencias</t>
  </si>
  <si>
    <t>Paz de Ariporo</t>
  </si>
  <si>
    <t>servicio</t>
  </si>
  <si>
    <t>en_sitio</t>
  </si>
  <si>
    <t>Safari llanero de un dia</t>
  </si>
  <si>
    <t>persona</t>
  </si>
  <si>
    <t>planes</t>
  </si>
  <si>
    <t>reserva</t>
  </si>
  <si>
    <t>Noche en el hato (hospedaje + cena)</t>
  </si>
  <si>
    <t>noche</t>
  </si>
  <si>
    <t>alojamiento</t>
  </si>
  <si>
    <t>Hotel Casa Morichal</t>
  </si>
  <si>
    <t>Habitacion estandar</t>
  </si>
  <si>
    <t>Habitacion familiar (4 personas)</t>
  </si>
  <si>
    <t>Llano Aventura Tours</t>
  </si>
  <si>
    <t>Pasadia rio Cravo Sur con asado</t>
  </si>
  <si>
    <t>pasadias</t>
  </si>
  <si>
    <t>Amanecer llanero con cabalgata</t>
  </si>
  <si>
    <t>Kit picnic llanero</t>
  </si>
  <si>
    <t>consumibles</t>
  </si>
  <si>
    <t>agro</t>
  </si>
  <si>
    <t>Agropunto El Llano</t>
  </si>
  <si>
    <t>Sal mineralizada 8% (bulto 40 kg)</t>
  </si>
  <si>
    <t>bulto</t>
  </si>
  <si>
    <t>insumos</t>
  </si>
  <si>
    <t>Semilla pasto Brachiaria (kg)</t>
  </si>
  <si>
    <t>kg</t>
  </si>
  <si>
    <t>a_domicilio</t>
  </si>
  <si>
    <t>Fumigacion de potreros con dron</t>
  </si>
  <si>
    <t>hectarea</t>
  </si>
  <si>
    <t>servicios_campo</t>
  </si>
  <si>
    <t>agendamiento</t>
  </si>
  <si>
    <t>Veterinaria San Roque</t>
  </si>
  <si>
    <t>Esterilizacion canina o felina</t>
  </si>
  <si>
    <t>animal</t>
  </si>
  <si>
    <t>veterinaria</t>
  </si>
  <si>
    <t>Consulta veterinaria a domicilio</t>
  </si>
  <si>
    <t>visita</t>
  </si>
  <si>
    <t>Ivermectina 1% (500 ml)</t>
  </si>
  <si>
    <t>InsemLlano Genetica</t>
  </si>
  <si>
    <t>Inseminacion artificial bovina</t>
  </si>
  <si>
    <t>genetica</t>
  </si>
  <si>
    <t>Ecografia reproductiva bovina</t>
  </si>
  <si>
    <t>Negocios (mock)</t>
  </si>
  <si>
    <t>9 negocios de ejemplo en los tres sectores. Radio 0 km = el cliente va al sitio (turismo).</t>
  </si>
  <si>
    <t>Nombre</t>
  </si>
  <si>
    <t>Responsable</t>
  </si>
  <si>
    <t>Telefono</t>
  </si>
  <si>
    <t>Radio cobertura (km)</t>
  </si>
  <si>
    <t>Descripcion</t>
  </si>
  <si>
    <t>Ana Barrera</t>
  </si>
  <si>
    <t>3001112233</t>
  </si>
  <si>
    <t>Chinchorros y hamacas tejidas a mano en fibra de moriche.</t>
  </si>
  <si>
    <t>Gilberto Rey</t>
  </si>
  <si>
    <t>3002223344</t>
  </si>
  <si>
    <t>Ternera a la llanera y hayacas, receta de hato.</t>
  </si>
  <si>
    <t>Nelson Cadena</t>
  </si>
  <si>
    <t>3004445566</t>
  </si>
  <si>
    <t>Queso llanero y cuajada de finca, produccion diaria.</t>
  </si>
  <si>
    <t>Marcela Pena</t>
  </si>
  <si>
    <t>3103334455</t>
  </si>
  <si>
    <t>Safari de fauna llanera y hospedaje en hato de conservacion.</t>
  </si>
  <si>
    <t>Patricia Vargas</t>
  </si>
  <si>
    <t>3115556677</t>
  </si>
  <si>
    <t>Hotel familiar en el centro de Yopal, desayuno incluido.</t>
  </si>
  <si>
    <t>Camilo Perez</t>
  </si>
  <si>
    <t>3127778899</t>
  </si>
  <si>
    <t>Pasadias al rio Cravo Sur, cabalgatas y amaneceres llaneros.</t>
  </si>
  <si>
    <t>Jaime Roa</t>
  </si>
  <si>
    <t>3138889900</t>
  </si>
  <si>
    <t>Insumos agricolas y servicios de campo para fincas de sabana.</t>
  </si>
  <si>
    <t>Luisa Cadena</t>
  </si>
  <si>
    <t>3149990011</t>
  </si>
  <si>
    <t>Clinica veterinaria: pequenas especies y visitas a finca.</t>
  </si>
  <si>
    <t>Ivan Torres</t>
  </si>
  <si>
    <t>3150001122</t>
  </si>
  <si>
    <t>Mejoramiento genetico bovino: inseminacion y diagnostico.</t>
  </si>
  <si>
    <t>Sello Llanero (cadena de certificacion)</t>
  </si>
  <si>
    <t>Cada sello encadena el hash del anterior (SHA-256). Alterar uno rompe la cadena y se detecta.</t>
  </si>
  <si>
    <t>Producto / experiencia</t>
  </si>
  <si>
    <t>Origen</t>
  </si>
  <si>
    <t>Tecnica</t>
  </si>
  <si>
    <t>Materiales</t>
  </si>
  <si>
    <t>Sostenibilidad</t>
  </si>
  <si>
    <t>Vereda La Niata, Yopal</t>
  </si>
  <si>
    <t>Tejido manual en telar vertical</t>
  </si>
  <si>
    <t>Fibra de palma de moriche</t>
  </si>
  <si>
    <t>Queso llanero de finca</t>
  </si>
  <si>
    <t>Finca El Corozo, Aguazul</t>
  </si>
  <si>
    <t>Cuajado artesanal en frio</t>
  </si>
  <si>
    <t>Leche entera de vacas de sabana</t>
  </si>
  <si>
    <t>Hato La Aurora, Paz de Ariporo</t>
  </si>
  <si>
    <t>Turismo de naturaleza en hato activo</t>
  </si>
  <si>
    <t>Modelo de conservacion de fauna de sabana inundable</t>
  </si>
  <si>
    <t>Las 9 herramientas del agente</t>
  </si>
  <si>
    <t>El agente decide cual ejecutar y la corre contra los datos reales. No puede inventar precios ni sellos.</t>
  </si>
  <si>
    <t>#</t>
  </si>
  <si>
    <t>Herramienta</t>
  </si>
  <si>
    <t>Que hace</t>
  </si>
  <si>
    <t>Atiende a</t>
  </si>
  <si>
    <t>1</t>
  </si>
  <si>
    <t>consultar_catalogo</t>
  </si>
  <si>
    <t>Lista productos y servicios reales con precio, negocio, sector y flujo.</t>
  </si>
  <si>
    <t>Cliente</t>
  </si>
  <si>
    <t>2</t>
  </si>
  <si>
    <t>registrar_negocio</t>
  </si>
  <si>
    <t>Registra un negocio (comercio, turismo o agro) desde lenguaje natural.</t>
  </si>
  <si>
    <t>Productor</t>
  </si>
  <si>
    <t>3</t>
  </si>
  <si>
    <t>publicar_item</t>
  </si>
  <si>
    <t>Publica producto o servicio y REDACTA la descripcion comercial.</t>
  </si>
  <si>
    <t>4</t>
  </si>
  <si>
    <t>evaluar_cobertura</t>
  </si>
  <si>
    <t>Calcula con Haversine si el lugar esta dentro del radio de entrega o servicio.</t>
  </si>
  <si>
    <t>Ambos</t>
  </si>
  <si>
    <t>5</t>
  </si>
  <si>
    <t>crear_solicitud</t>
  </si>
  <si>
    <t>Crea pedido, reserva o agendamiento segun el item, con validaciones por flujo.</t>
  </si>
  <si>
    <t>6</t>
  </si>
  <si>
    <t>generar_pago_breb</t>
  </si>
  <si>
    <t>Devuelve llave, QR, monto y referencia unica de pago Bre-B.</t>
  </si>
  <si>
    <t>7</t>
  </si>
  <si>
    <t>certificar_origen</t>
  </si>
  <si>
    <t>Emite el Sello Llanero encadenado criptograficamente (origen/autenticidad).</t>
  </si>
  <si>
    <t>8</t>
  </si>
  <si>
    <t>verificar_sello</t>
  </si>
  <si>
    <t>Recalcula el hash y valida la cadena; detecta manipulacion.</t>
  </si>
  <si>
    <t>Publico</t>
  </si>
  <si>
    <t>9</t>
  </si>
  <si>
    <t>generar_contenido_promo</t>
  </si>
  <si>
    <t>Empaqueta el post para redes con sello, hashtags y enlace de WhatsApp.</t>
  </si>
  <si>
    <t>Stack tecnologico</t>
  </si>
  <si>
    <t>Capa</t>
  </si>
  <si>
    <t>Tecnologia</t>
  </si>
  <si>
    <t>Por que</t>
  </si>
  <si>
    <t>Motor de IA</t>
  </si>
  <si>
    <t>Claude Opus 5 con uso de herramientas (tool use)</t>
  </si>
  <si>
    <t>Convierte la solucion en agente, no en chatbot</t>
  </si>
  <si>
    <t>SDK</t>
  </si>
  <si>
    <t>@anthropic-ai/sdk (oficial)</t>
  </si>
  <si>
    <t>Tipos y manejo de errores del proveedor</t>
  </si>
  <si>
    <t>Runtime</t>
  </si>
  <si>
    <t>Node.js 20+, ESM puro (.mjs), sin build</t>
  </si>
  <si>
    <t>Arranca en segundos, sin Docker</t>
  </si>
  <si>
    <t>Servidor</t>
  </si>
  <si>
    <t>node:http de la libreria estandar</t>
  </si>
  <si>
    <t>Cero framework, minima superficie de fallo</t>
  </si>
  <si>
    <t>Interfaz</t>
  </si>
  <si>
    <t>HTML + CSS + JavaScript, movil primero</t>
  </si>
  <si>
    <t>Sin instalacion, se abre en el navegador</t>
  </si>
  <si>
    <t>Geolocalizacion</t>
  </si>
  <si>
    <t>Formula de Haversine (portada de Compy)</t>
  </si>
  <si>
    <t>Cobertura sin costo por consulta a mapas</t>
  </si>
  <si>
    <t>Certificacion</t>
  </si>
  <si>
    <t>Cadena de hashes SHA-256 (Sello Llanero)</t>
  </si>
  <si>
    <t>Blockchain verificable, sin gas ni billetera</t>
  </si>
  <si>
    <t>Pagos</t>
  </si>
  <si>
    <t>Bre-B por llave con QR</t>
  </si>
  <si>
    <t>Funciona desde cualquier banco, sin pasarela</t>
  </si>
  <si>
    <t>Datos</t>
  </si>
  <si>
    <t>Patron Repository: memoria (demo) / Supabase (produccion)</t>
  </si>
  <si>
    <t>Cambiar de uno a otro es una variable de entorno</t>
  </si>
  <si>
    <t>Mapeo a la rubrica del jurado</t>
  </si>
  <si>
    <t>Panel de 3+ jurados, 0 a 100 por criterio, promedio ponderado.</t>
  </si>
  <si>
    <t>Criterio</t>
  </si>
  <si>
    <t>Peso</t>
  </si>
  <si>
    <t>Que evaluan</t>
  </si>
  <si>
    <t>Como lo ataca CIMARRON</t>
  </si>
  <si>
    <t>Pertinencia Territorial</t>
  </si>
  <si>
    <t>Responde a un problema real del territorio; el equipo entiende el contexto local.</t>
  </si>
  <si>
    <t>Yopal real, tres sectores no petroleros, datos y actores concretos.</t>
  </si>
  <si>
    <t>Fuerte; sube a Excelente con datos reales de negocios.</t>
  </si>
  <si>
    <t>Innovacion y Creatividad</t>
  </si>
  <si>
    <t>Solucion novedosa; combina tecnologia de forma no obvia; explican el mecanismo.</t>
  </si>
  <si>
    <t>Un agente opera tres sectores y tres flujos, y certifica en el mismo flujo.</t>
  </si>
  <si>
    <t>Fuerte; la IA es el eje (evita el tope de 50).</t>
  </si>
  <si>
    <t>Viabilidad Tecnica</t>
  </si>
  <si>
    <t>Se implementa con los recursos del territorio; el prototipo funciona.</t>
  </si>
  <si>
    <t>Corre en un portatil sin Docker; demo en vivo real, publicada.</t>
  </si>
  <si>
    <t>Fuerte; prototipo demostrable.</t>
  </si>
  <si>
    <t>Impacto Potencial</t>
  </si>
  <si>
    <t>Transformacion real, medible y sostenible; escalable.</t>
  </si>
  <si>
    <t>Indicadores concretos de piloto 90 dias; sector y territorio son datos.</t>
  </si>
  <si>
    <t>Fuerte; ver hoja Impacto.</t>
  </si>
  <si>
    <t>Presentacion y Comunicacion</t>
  </si>
  <si>
    <t>Comunican con claridad; todos participan; responden al jurado.</t>
  </si>
  <si>
    <t>Guion de 5 min por integrante + banco de respuestas.</t>
  </si>
  <si>
    <t>Pendiente: ensayar el pitch.</t>
  </si>
  <si>
    <t>Indicadores de impacto</t>
  </si>
  <si>
    <t>Medibles desde el propio sistema. Piloto de 90 dias en Yopal.</t>
  </si>
  <si>
    <t>Indicador</t>
  </si>
  <si>
    <t>Como se mide</t>
  </si>
  <si>
    <t>Meta piloto</t>
  </si>
  <si>
    <t>Negocios no petroleros digitalizados</t>
  </si>
  <si>
    <t>Negocios creados por el agente</t>
  </si>
  <si>
    <t>50</t>
  </si>
  <si>
    <t>Tiempo hasta el primer producto publicado</t>
  </si>
  <si>
    <t>Entre registro y primera publicacion</t>
  </si>
  <si>
    <t>&lt; 10 min</t>
  </si>
  <si>
    <t>Productos con certificacion de origen</t>
  </si>
  <si>
    <t>Sellos Llaneros emitidos</t>
  </si>
  <si>
    <t>300</t>
  </si>
  <si>
    <t>Verificaciones de sello por compradores</t>
  </si>
  <si>
    <t>Consultas al verificador</t>
  </si>
  <si>
    <t>500</t>
  </si>
  <si>
    <t>Solicitudes con pago Bre-B trazado</t>
  </si>
  <si>
    <t>Solicitudes con referencia de pago</t>
  </si>
  <si>
    <t>200</t>
  </si>
  <si>
    <t>Hoja de ruta: de mock a solucion final</t>
  </si>
  <si>
    <t>Que es hoy y que falta para la integracion real (base de datos, IA, pasarela).</t>
  </si>
  <si>
    <t>Fase</t>
  </si>
  <si>
    <t>Componente</t>
  </si>
  <si>
    <t>Hoy (mock)</t>
  </si>
  <si>
    <t>Repositorio en memoria con semillas editables (src/datos/semillas.mjs).</t>
  </si>
  <si>
    <t>Listo</t>
  </si>
  <si>
    <t>IA</t>
  </si>
  <si>
    <t>Agente Claude Opus 5 con 9 herramientas, bucle de tool use.</t>
  </si>
  <si>
    <t>Listo (falta QR real)</t>
  </si>
  <si>
    <t>Publicacion</t>
  </si>
  <si>
    <t>GitHub Pages estatico + servidor local para el agente.</t>
  </si>
  <si>
    <t>Publicado</t>
  </si>
  <si>
    <t>Final</t>
  </si>
  <si>
    <t>Base de datos</t>
  </si>
  <si>
    <t>Implementar src/datos/supabase.mjs contra el contrato (Postgres + RLS).</t>
  </si>
  <si>
    <t>Por hacer</t>
  </si>
  <si>
    <t>Agente en Edge Function o en Render, con la llave como secreto.</t>
  </si>
  <si>
    <t>Pagos - manual</t>
  </si>
  <si>
    <t>El negocio confirma la transferencia con la referencia (herramienta del agente).</t>
  </si>
  <si>
    <t>Recomendado para el evento</t>
  </si>
  <si>
    <t>Pagos - Wompi</t>
  </si>
  <si>
    <t>Integracion real reutilizando lo probado en Compy (firma + webhook).</t>
  </si>
  <si>
    <t>Despues del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</si>
</sst>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6" x14ac:knownFonts="1">
    <font>
      <sz val="11"/>
      <color theme="1"/>
      <name val="Calibri"/>
      <family val="2"/>
      <scheme val="minor"/>
    </font>
    <font>
      <b/>
      <sz val="16"/>
      <color rgb="FF9A5B1E"/>
      <name val="Arial"/>
    </font>
    <font>
      <i/>
      <sz val="10"/>
      <color rgb="FF6B6355"/>
      <name val="Arial"/>
    </font>
    <font>
      <b/>
      <sz val="10"/>
      <color rgb="FF1E1A15"/>
      <name val="Arial"/>
    </font>
    <font>
      <sz val="10"/>
      <color rgb="FF1E1A15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2EAD9"/>
      </patternFill>
    </fill>
    <fill>
      <patternFill patternType="solid">
        <fgColor rgb="FF9A5B1E"/>
      </patternFill>
    </fill>
    <fill>
      <patternFill patternType="solid">
        <fgColor rgb="FFFBF6EC"/>
      </patternFill>
    </fill>
    <fill>
      <patternFill patternType="solid">
        <fgColor rgb="FF2F5C3D"/>
      </patternFill>
    </fill>
    <fill>
      <patternFill patternType="solid">
        <fgColor rgb="FF35576B"/>
      </patternFill>
    </fill>
  </fills>
  <borders count="2">
    <border>
      <left/>
      <right/>
      <top/>
      <bottom/>
      <diagonal/>
    </border>
    <border>
      <left style="thin">
        <color rgb="FFC9BCA6"/>
      </left>
      <right style="thin">
        <color rgb="FFC9BCA6"/>
      </right>
      <top style="thin">
        <color rgb="FFC9BCA6"/>
      </top>
      <bottom style="thin">
        <color rgb="FFC9BCA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showGridLines="0" tabSelected="1" workbookViewId="0">
      <selection sqref="A1:Z1"/>
    </sheetView>
  </sheetViews>
  <sheetFormatPr baseColWidth="10" defaultColWidth="8.88671875" defaultRowHeight="14.4" x14ac:dyDescent="0.3"/>
  <cols>
    <col min="1" max="1" width="24" customWidth="1"/>
    <col min="2" max="2" width="92" customWidth="1"/>
  </cols>
  <sheetData>
    <row r="1" spans="1:26" ht="30" customHeigh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x14ac:dyDescent="0.3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4" spans="1:26" ht="30" customHeight="1" x14ac:dyDescent="0.3">
      <c r="A4" s="1" t="s">
        <v>2</v>
      </c>
      <c r="B4" s="2" t="s">
        <v>3</v>
      </c>
    </row>
    <row r="5" spans="1:26" ht="30" customHeight="1" x14ac:dyDescent="0.3">
      <c r="A5" s="1" t="s">
        <v>4</v>
      </c>
      <c r="B5" s="2" t="s">
        <v>5</v>
      </c>
    </row>
    <row r="6" spans="1:26" ht="30" customHeight="1" x14ac:dyDescent="0.3">
      <c r="A6" s="1" t="s">
        <v>6</v>
      </c>
      <c r="B6" s="2" t="s">
        <v>7</v>
      </c>
    </row>
    <row r="7" spans="1:26" ht="30" customHeight="1" x14ac:dyDescent="0.3">
      <c r="A7" s="1" t="s">
        <v>8</v>
      </c>
      <c r="B7" s="2" t="s">
        <v>9</v>
      </c>
    </row>
    <row r="8" spans="1:26" ht="30" customHeight="1" x14ac:dyDescent="0.3">
      <c r="A8" s="1" t="s">
        <v>10</v>
      </c>
      <c r="B8" s="2" t="s">
        <v>11</v>
      </c>
    </row>
    <row r="9" spans="1:26" ht="30" customHeight="1" x14ac:dyDescent="0.3">
      <c r="A9" s="1" t="s">
        <v>12</v>
      </c>
      <c r="B9" s="2" t="s">
        <v>13</v>
      </c>
    </row>
    <row r="10" spans="1:26" ht="30" customHeight="1" x14ac:dyDescent="0.3">
      <c r="A10" s="1" t="s">
        <v>14</v>
      </c>
      <c r="B10" s="2" t="s">
        <v>15</v>
      </c>
    </row>
    <row r="11" spans="1:26" ht="30" customHeight="1" x14ac:dyDescent="0.3">
      <c r="A11" s="1" t="s">
        <v>16</v>
      </c>
      <c r="B11" s="2" t="s">
        <v>17</v>
      </c>
    </row>
    <row r="12" spans="1:26" ht="30" customHeight="1" x14ac:dyDescent="0.3">
      <c r="A12" s="1" t="s">
        <v>18</v>
      </c>
      <c r="B12" s="2" t="s">
        <v>19</v>
      </c>
    </row>
    <row r="13" spans="1:26" ht="30" customHeight="1" x14ac:dyDescent="0.3">
      <c r="A13" s="1" t="s">
        <v>20</v>
      </c>
      <c r="B13" s="2" t="s">
        <v>21</v>
      </c>
    </row>
    <row r="14" spans="1:26" ht="30" customHeight="1" x14ac:dyDescent="0.3">
      <c r="A14" s="1" t="s">
        <v>22</v>
      </c>
      <c r="B14" s="2">
        <v>9</v>
      </c>
    </row>
    <row r="15" spans="1:26" ht="30" customHeight="1" x14ac:dyDescent="0.3">
      <c r="A15" s="1" t="s">
        <v>23</v>
      </c>
      <c r="B15" s="2">
        <v>21</v>
      </c>
    </row>
    <row r="16" spans="1:26" ht="30" customHeight="1" x14ac:dyDescent="0.3">
      <c r="A16" s="1" t="s">
        <v>24</v>
      </c>
      <c r="B16" s="2">
        <v>3</v>
      </c>
    </row>
    <row r="17" spans="1:2" ht="30" customHeight="1" x14ac:dyDescent="0.3">
      <c r="A17" s="1" t="s">
        <v>25</v>
      </c>
      <c r="B17" s="2">
        <v>9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44" customWidth="1"/>
    <col min="4" max="4" width="11" customWidth="1"/>
    <col min="5" max="5" width="9" customWidth="1"/>
    <col min="6" max="7" width="12" customWidth="1"/>
  </cols>
  <sheetData>
    <row r="1" spans="1:26" ht="30" customHeight="1" x14ac:dyDescent="0.3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x14ac:dyDescent="0.3">
      <c r="A2" s="23" t="s">
        <v>27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4" spans="1:26" ht="25.95" customHeight="1" x14ac:dyDescent="0.3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</row>
    <row r="5" spans="1:26" x14ac:dyDescent="0.3">
      <c r="A5" s="2" t="s">
        <v>35</v>
      </c>
      <c r="B5" s="2" t="s">
        <v>36</v>
      </c>
      <c r="C5" s="2" t="s">
        <v>37</v>
      </c>
      <c r="D5" s="4">
        <f>COUNTIF(Negocios!$A$5:$A$13,"comercio")</f>
        <v>3</v>
      </c>
      <c r="E5" s="4">
        <f>COUNTIF(Catalogo!$A$5:$A$25,"comercio")</f>
        <v>6</v>
      </c>
      <c r="F5" s="4">
        <f>COUNTIFS(Catalogo!$A$5:$A$25,"comercio",Catalogo!$D$5:$D$25,"producto")</f>
        <v>6</v>
      </c>
      <c r="G5" s="4">
        <f>COUNTIFS(Catalogo!$A$5:$A$25,"comercio",Catalogo!$D$5:$D$25,"servicio")</f>
        <v>0</v>
      </c>
    </row>
    <row r="6" spans="1:26" x14ac:dyDescent="0.3">
      <c r="A6" s="5" t="s">
        <v>38</v>
      </c>
      <c r="B6" s="5" t="s">
        <v>39</v>
      </c>
      <c r="C6" s="5" t="s">
        <v>40</v>
      </c>
      <c r="D6" s="6">
        <f>COUNTIF(Negocios!$A$5:$A$13,"turismo")</f>
        <v>3</v>
      </c>
      <c r="E6" s="6">
        <f>COUNTIF(Catalogo!$A$5:$A$25,"turismo")</f>
        <v>7</v>
      </c>
      <c r="F6" s="6">
        <f>COUNTIFS(Catalogo!$A$5:$A$25,"turismo",Catalogo!$D$5:$D$25,"producto")</f>
        <v>1</v>
      </c>
      <c r="G6" s="6">
        <f>COUNTIFS(Catalogo!$A$5:$A$25,"turismo",Catalogo!$D$5:$D$25,"servicio")</f>
        <v>6</v>
      </c>
    </row>
    <row r="7" spans="1:26" ht="26.4" x14ac:dyDescent="0.3">
      <c r="A7" s="2" t="s">
        <v>41</v>
      </c>
      <c r="B7" s="2" t="s">
        <v>42</v>
      </c>
      <c r="C7" s="2" t="s">
        <v>43</v>
      </c>
      <c r="D7" s="4">
        <f>COUNTIF(Negocios!$A$5:$A$13,"agro")</f>
        <v>3</v>
      </c>
      <c r="E7" s="4">
        <f>COUNTIF(Catalogo!$A$5:$A$25,"agro")</f>
        <v>8</v>
      </c>
      <c r="F7" s="4">
        <f>COUNTIFS(Catalogo!$A$5:$A$25,"agro",Catalogo!$D$5:$D$25,"producto")</f>
        <v>3</v>
      </c>
      <c r="G7" s="4">
        <f>COUNTIFS(Catalogo!$A$5:$A$25,"agro",Catalogo!$D$5:$D$25,"servicio")</f>
        <v>5</v>
      </c>
    </row>
    <row r="8" spans="1:26" x14ac:dyDescent="0.3">
      <c r="A8" s="7" t="s">
        <v>44</v>
      </c>
      <c r="B8" s="8"/>
      <c r="C8" s="8"/>
      <c r="D8" s="9">
        <f>SUM(D5:D7)</f>
        <v>9</v>
      </c>
      <c r="E8" s="9">
        <f>SUM(E5:E7)</f>
        <v>21</v>
      </c>
      <c r="F8" s="9">
        <f>SUM(F5:F7)</f>
        <v>10</v>
      </c>
      <c r="G8" s="9">
        <f>SUM(G5:G7)</f>
        <v>11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4" customWidth="1"/>
    <col min="3" max="3" width="14" customWidth="1"/>
    <col min="4" max="4" width="10" customWidth="1"/>
    <col min="5" max="5" width="12" customWidth="1"/>
    <col min="6" max="6" width="34" customWidth="1"/>
    <col min="7" max="7" width="13" customWidth="1"/>
    <col min="8" max="8" width="10" customWidth="1"/>
    <col min="9" max="10" width="14" customWidth="1"/>
    <col min="11" max="11" width="10" customWidth="1"/>
  </cols>
  <sheetData>
    <row r="1" spans="1:26" ht="30" customHeight="1" x14ac:dyDescent="0.3">
      <c r="A1" s="21" t="s">
        <v>45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x14ac:dyDescent="0.3">
      <c r="A2" s="23" t="s">
        <v>46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4" spans="1:26" ht="25.95" customHeight="1" x14ac:dyDescent="0.3">
      <c r="A4" s="3" t="s">
        <v>28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29</v>
      </c>
      <c r="K4" s="3" t="s">
        <v>55</v>
      </c>
    </row>
    <row r="5" spans="1:26" x14ac:dyDescent="0.3">
      <c r="A5" s="2" t="s">
        <v>56</v>
      </c>
      <c r="B5" s="2" t="s">
        <v>57</v>
      </c>
      <c r="C5" s="2" t="s">
        <v>58</v>
      </c>
      <c r="D5" s="2" t="s">
        <v>59</v>
      </c>
      <c r="E5" s="2"/>
      <c r="F5" s="2" t="s">
        <v>60</v>
      </c>
      <c r="G5" s="10">
        <v>180000</v>
      </c>
      <c r="H5" s="2" t="s">
        <v>61</v>
      </c>
      <c r="I5" s="2" t="s">
        <v>62</v>
      </c>
      <c r="J5" s="2" t="s">
        <v>63</v>
      </c>
      <c r="K5" s="2" t="s">
        <v>64</v>
      </c>
    </row>
    <row r="6" spans="1:26" x14ac:dyDescent="0.3">
      <c r="A6" s="5" t="s">
        <v>56</v>
      </c>
      <c r="B6" s="5" t="s">
        <v>57</v>
      </c>
      <c r="C6" s="5" t="s">
        <v>58</v>
      </c>
      <c r="D6" s="5" t="s">
        <v>59</v>
      </c>
      <c r="E6" s="5"/>
      <c r="F6" s="5" t="s">
        <v>65</v>
      </c>
      <c r="G6" s="11">
        <v>95000</v>
      </c>
      <c r="H6" s="5" t="s">
        <v>61</v>
      </c>
      <c r="I6" s="5" t="s">
        <v>62</v>
      </c>
      <c r="J6" s="5" t="s">
        <v>63</v>
      </c>
      <c r="K6" s="5"/>
    </row>
    <row r="7" spans="1:26" x14ac:dyDescent="0.3">
      <c r="A7" s="2" t="s">
        <v>56</v>
      </c>
      <c r="B7" s="2" t="s">
        <v>66</v>
      </c>
      <c r="C7" s="2" t="s">
        <v>58</v>
      </c>
      <c r="D7" s="2" t="s">
        <v>59</v>
      </c>
      <c r="E7" s="2"/>
      <c r="F7" s="2" t="s">
        <v>67</v>
      </c>
      <c r="G7" s="10">
        <v>32000</v>
      </c>
      <c r="H7" s="2" t="s">
        <v>68</v>
      </c>
      <c r="I7" s="2" t="s">
        <v>69</v>
      </c>
      <c r="J7" s="2" t="s">
        <v>63</v>
      </c>
      <c r="K7" s="2"/>
    </row>
    <row r="8" spans="1:26" x14ac:dyDescent="0.3">
      <c r="A8" s="5" t="s">
        <v>56</v>
      </c>
      <c r="B8" s="5" t="s">
        <v>66</v>
      </c>
      <c r="C8" s="5" t="s">
        <v>58</v>
      </c>
      <c r="D8" s="5" t="s">
        <v>59</v>
      </c>
      <c r="E8" s="5"/>
      <c r="F8" s="5" t="s">
        <v>70</v>
      </c>
      <c r="G8" s="11">
        <v>12000</v>
      </c>
      <c r="H8" s="5" t="s">
        <v>61</v>
      </c>
      <c r="I8" s="5" t="s">
        <v>69</v>
      </c>
      <c r="J8" s="5" t="s">
        <v>63</v>
      </c>
      <c r="K8" s="5"/>
    </row>
    <row r="9" spans="1:26" x14ac:dyDescent="0.3">
      <c r="A9" s="2" t="s">
        <v>56</v>
      </c>
      <c r="B9" s="2" t="s">
        <v>71</v>
      </c>
      <c r="C9" s="2" t="s">
        <v>72</v>
      </c>
      <c r="D9" s="2" t="s">
        <v>59</v>
      </c>
      <c r="E9" s="2"/>
      <c r="F9" s="2" t="s">
        <v>73</v>
      </c>
      <c r="G9" s="10">
        <v>14000</v>
      </c>
      <c r="H9" s="2" t="s">
        <v>74</v>
      </c>
      <c r="I9" s="2" t="s">
        <v>75</v>
      </c>
      <c r="J9" s="2" t="s">
        <v>63</v>
      </c>
      <c r="K9" s="2" t="s">
        <v>64</v>
      </c>
    </row>
    <row r="10" spans="1:26" x14ac:dyDescent="0.3">
      <c r="A10" s="5" t="s">
        <v>56</v>
      </c>
      <c r="B10" s="5" t="s">
        <v>71</v>
      </c>
      <c r="C10" s="5" t="s">
        <v>72</v>
      </c>
      <c r="D10" s="5" t="s">
        <v>59</v>
      </c>
      <c r="E10" s="5"/>
      <c r="F10" s="5" t="s">
        <v>76</v>
      </c>
      <c r="G10" s="11">
        <v>10000</v>
      </c>
      <c r="H10" s="5" t="s">
        <v>74</v>
      </c>
      <c r="I10" s="5" t="s">
        <v>75</v>
      </c>
      <c r="J10" s="5" t="s">
        <v>63</v>
      </c>
      <c r="K10" s="5"/>
    </row>
    <row r="11" spans="1:26" ht="26.4" x14ac:dyDescent="0.3">
      <c r="A11" s="2" t="s">
        <v>77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  <c r="G11" s="10">
        <v>220000</v>
      </c>
      <c r="H11" s="2" t="s">
        <v>83</v>
      </c>
      <c r="I11" s="2" t="s">
        <v>84</v>
      </c>
      <c r="J11" s="2" t="s">
        <v>85</v>
      </c>
      <c r="K11" s="2" t="s">
        <v>64</v>
      </c>
    </row>
    <row r="12" spans="1:26" ht="26.4" x14ac:dyDescent="0.3">
      <c r="A12" s="5" t="s">
        <v>77</v>
      </c>
      <c r="B12" s="5" t="s">
        <v>78</v>
      </c>
      <c r="C12" s="5" t="s">
        <v>79</v>
      </c>
      <c r="D12" s="5" t="s">
        <v>80</v>
      </c>
      <c r="E12" s="5" t="s">
        <v>81</v>
      </c>
      <c r="F12" s="5" t="s">
        <v>86</v>
      </c>
      <c r="G12" s="11">
        <v>260000</v>
      </c>
      <c r="H12" s="5" t="s">
        <v>87</v>
      </c>
      <c r="I12" s="5" t="s">
        <v>88</v>
      </c>
      <c r="J12" s="5" t="s">
        <v>85</v>
      </c>
      <c r="K12" s="5"/>
    </row>
    <row r="13" spans="1:26" x14ac:dyDescent="0.3">
      <c r="A13" s="2" t="s">
        <v>77</v>
      </c>
      <c r="B13" s="2" t="s">
        <v>89</v>
      </c>
      <c r="C13" s="2" t="s">
        <v>58</v>
      </c>
      <c r="D13" s="2" t="s">
        <v>80</v>
      </c>
      <c r="E13" s="2" t="s">
        <v>81</v>
      </c>
      <c r="F13" s="2" t="s">
        <v>90</v>
      </c>
      <c r="G13" s="10">
        <v>120000</v>
      </c>
      <c r="H13" s="2" t="s">
        <v>87</v>
      </c>
      <c r="I13" s="2" t="s">
        <v>88</v>
      </c>
      <c r="J13" s="2" t="s">
        <v>85</v>
      </c>
      <c r="K13" s="2"/>
    </row>
    <row r="14" spans="1:26" x14ac:dyDescent="0.3">
      <c r="A14" s="5" t="s">
        <v>77</v>
      </c>
      <c r="B14" s="5" t="s">
        <v>89</v>
      </c>
      <c r="C14" s="5" t="s">
        <v>58</v>
      </c>
      <c r="D14" s="5" t="s">
        <v>80</v>
      </c>
      <c r="E14" s="5" t="s">
        <v>81</v>
      </c>
      <c r="F14" s="5" t="s">
        <v>91</v>
      </c>
      <c r="G14" s="11">
        <v>190000</v>
      </c>
      <c r="H14" s="5" t="s">
        <v>87</v>
      </c>
      <c r="I14" s="5" t="s">
        <v>88</v>
      </c>
      <c r="J14" s="5" t="s">
        <v>85</v>
      </c>
      <c r="K14" s="5"/>
    </row>
    <row r="15" spans="1:26" x14ac:dyDescent="0.3">
      <c r="A15" s="2" t="s">
        <v>77</v>
      </c>
      <c r="B15" s="2" t="s">
        <v>92</v>
      </c>
      <c r="C15" s="2" t="s">
        <v>58</v>
      </c>
      <c r="D15" s="2" t="s">
        <v>80</v>
      </c>
      <c r="E15" s="2" t="s">
        <v>81</v>
      </c>
      <c r="F15" s="2" t="s">
        <v>93</v>
      </c>
      <c r="G15" s="10">
        <v>85000</v>
      </c>
      <c r="H15" s="2" t="s">
        <v>83</v>
      </c>
      <c r="I15" s="2" t="s">
        <v>94</v>
      </c>
      <c r="J15" s="2" t="s">
        <v>85</v>
      </c>
      <c r="K15" s="2"/>
    </row>
    <row r="16" spans="1:26" x14ac:dyDescent="0.3">
      <c r="A16" s="5" t="s">
        <v>77</v>
      </c>
      <c r="B16" s="5" t="s">
        <v>92</v>
      </c>
      <c r="C16" s="5" t="s">
        <v>58</v>
      </c>
      <c r="D16" s="5" t="s">
        <v>80</v>
      </c>
      <c r="E16" s="5" t="s">
        <v>81</v>
      </c>
      <c r="F16" s="5" t="s">
        <v>95</v>
      </c>
      <c r="G16" s="11">
        <v>140000</v>
      </c>
      <c r="H16" s="5" t="s">
        <v>83</v>
      </c>
      <c r="I16" s="5" t="s">
        <v>84</v>
      </c>
      <c r="J16" s="5" t="s">
        <v>85</v>
      </c>
      <c r="K16" s="5"/>
    </row>
    <row r="17" spans="1:11" x14ac:dyDescent="0.3">
      <c r="A17" s="2" t="s">
        <v>77</v>
      </c>
      <c r="B17" s="2" t="s">
        <v>92</v>
      </c>
      <c r="C17" s="2" t="s">
        <v>58</v>
      </c>
      <c r="D17" s="2" t="s">
        <v>59</v>
      </c>
      <c r="E17" s="2"/>
      <c r="F17" s="2" t="s">
        <v>96</v>
      </c>
      <c r="G17" s="10">
        <v>45000</v>
      </c>
      <c r="H17" s="2" t="s">
        <v>61</v>
      </c>
      <c r="I17" s="2" t="s">
        <v>97</v>
      </c>
      <c r="J17" s="2" t="s">
        <v>63</v>
      </c>
      <c r="K17" s="2"/>
    </row>
    <row r="18" spans="1:11" x14ac:dyDescent="0.3">
      <c r="A18" s="5" t="s">
        <v>98</v>
      </c>
      <c r="B18" s="5" t="s">
        <v>99</v>
      </c>
      <c r="C18" s="5" t="s">
        <v>58</v>
      </c>
      <c r="D18" s="5" t="s">
        <v>59</v>
      </c>
      <c r="E18" s="5"/>
      <c r="F18" s="5" t="s">
        <v>100</v>
      </c>
      <c r="G18" s="11">
        <v>145000</v>
      </c>
      <c r="H18" s="5" t="s">
        <v>101</v>
      </c>
      <c r="I18" s="5" t="s">
        <v>102</v>
      </c>
      <c r="J18" s="5" t="s">
        <v>63</v>
      </c>
      <c r="K18" s="5"/>
    </row>
    <row r="19" spans="1:11" x14ac:dyDescent="0.3">
      <c r="A19" s="2" t="s">
        <v>98</v>
      </c>
      <c r="B19" s="2" t="s">
        <v>99</v>
      </c>
      <c r="C19" s="2" t="s">
        <v>58</v>
      </c>
      <c r="D19" s="2" t="s">
        <v>59</v>
      </c>
      <c r="E19" s="2"/>
      <c r="F19" s="2" t="s">
        <v>103</v>
      </c>
      <c r="G19" s="10">
        <v>68000</v>
      </c>
      <c r="H19" s="2" t="s">
        <v>104</v>
      </c>
      <c r="I19" s="2" t="s">
        <v>102</v>
      </c>
      <c r="J19" s="2" t="s">
        <v>63</v>
      </c>
      <c r="K19" s="2"/>
    </row>
    <row r="20" spans="1:11" ht="26.4" x14ac:dyDescent="0.3">
      <c r="A20" s="5" t="s">
        <v>98</v>
      </c>
      <c r="B20" s="5" t="s">
        <v>99</v>
      </c>
      <c r="C20" s="5" t="s">
        <v>58</v>
      </c>
      <c r="D20" s="5" t="s">
        <v>80</v>
      </c>
      <c r="E20" s="5" t="s">
        <v>105</v>
      </c>
      <c r="F20" s="5" t="s">
        <v>106</v>
      </c>
      <c r="G20" s="11">
        <v>90000</v>
      </c>
      <c r="H20" s="5" t="s">
        <v>107</v>
      </c>
      <c r="I20" s="5" t="s">
        <v>108</v>
      </c>
      <c r="J20" s="5" t="s">
        <v>109</v>
      </c>
      <c r="K20" s="5"/>
    </row>
    <row r="21" spans="1:11" x14ac:dyDescent="0.3">
      <c r="A21" s="2" t="s">
        <v>98</v>
      </c>
      <c r="B21" s="2" t="s">
        <v>110</v>
      </c>
      <c r="C21" s="2" t="s">
        <v>58</v>
      </c>
      <c r="D21" s="2" t="s">
        <v>80</v>
      </c>
      <c r="E21" s="2" t="s">
        <v>81</v>
      </c>
      <c r="F21" s="2" t="s">
        <v>111</v>
      </c>
      <c r="G21" s="10">
        <v>130000</v>
      </c>
      <c r="H21" s="2" t="s">
        <v>112</v>
      </c>
      <c r="I21" s="2" t="s">
        <v>113</v>
      </c>
      <c r="J21" s="2" t="s">
        <v>109</v>
      </c>
      <c r="K21" s="2"/>
    </row>
    <row r="22" spans="1:11" x14ac:dyDescent="0.3">
      <c r="A22" s="5" t="s">
        <v>98</v>
      </c>
      <c r="B22" s="5" t="s">
        <v>110</v>
      </c>
      <c r="C22" s="5" t="s">
        <v>58</v>
      </c>
      <c r="D22" s="5" t="s">
        <v>80</v>
      </c>
      <c r="E22" s="5" t="s">
        <v>105</v>
      </c>
      <c r="F22" s="5" t="s">
        <v>114</v>
      </c>
      <c r="G22" s="11">
        <v>60000</v>
      </c>
      <c r="H22" s="5" t="s">
        <v>115</v>
      </c>
      <c r="I22" s="5" t="s">
        <v>113</v>
      </c>
      <c r="J22" s="5" t="s">
        <v>109</v>
      </c>
      <c r="K22" s="5"/>
    </row>
    <row r="23" spans="1:11" x14ac:dyDescent="0.3">
      <c r="A23" s="2" t="s">
        <v>98</v>
      </c>
      <c r="B23" s="2" t="s">
        <v>110</v>
      </c>
      <c r="C23" s="2" t="s">
        <v>58</v>
      </c>
      <c r="D23" s="2" t="s">
        <v>59</v>
      </c>
      <c r="E23" s="2"/>
      <c r="F23" s="2" t="s">
        <v>116</v>
      </c>
      <c r="G23" s="10">
        <v>55000</v>
      </c>
      <c r="H23" s="2" t="s">
        <v>61</v>
      </c>
      <c r="I23" s="2" t="s">
        <v>113</v>
      </c>
      <c r="J23" s="2" t="s">
        <v>63</v>
      </c>
      <c r="K23" s="2"/>
    </row>
    <row r="24" spans="1:11" x14ac:dyDescent="0.3">
      <c r="A24" s="5" t="s">
        <v>98</v>
      </c>
      <c r="B24" s="5" t="s">
        <v>117</v>
      </c>
      <c r="C24" s="5" t="s">
        <v>72</v>
      </c>
      <c r="D24" s="5" t="s">
        <v>80</v>
      </c>
      <c r="E24" s="5" t="s">
        <v>105</v>
      </c>
      <c r="F24" s="5" t="s">
        <v>118</v>
      </c>
      <c r="G24" s="11">
        <v>180000</v>
      </c>
      <c r="H24" s="5" t="s">
        <v>112</v>
      </c>
      <c r="I24" s="5" t="s">
        <v>119</v>
      </c>
      <c r="J24" s="5" t="s">
        <v>109</v>
      </c>
      <c r="K24" s="5"/>
    </row>
    <row r="25" spans="1:11" x14ac:dyDescent="0.3">
      <c r="A25" s="2" t="s">
        <v>98</v>
      </c>
      <c r="B25" s="2" t="s">
        <v>117</v>
      </c>
      <c r="C25" s="2" t="s">
        <v>72</v>
      </c>
      <c r="D25" s="2" t="s">
        <v>80</v>
      </c>
      <c r="E25" s="2" t="s">
        <v>105</v>
      </c>
      <c r="F25" s="2" t="s">
        <v>120</v>
      </c>
      <c r="G25" s="10">
        <v>45000</v>
      </c>
      <c r="H25" s="2" t="s">
        <v>112</v>
      </c>
      <c r="I25" s="2" t="s">
        <v>119</v>
      </c>
      <c r="J25" s="2" t="s">
        <v>109</v>
      </c>
      <c r="K25" s="2"/>
    </row>
  </sheetData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6" customWidth="1"/>
    <col min="3" max="3" width="18" customWidth="1"/>
    <col min="4" max="4" width="14" customWidth="1"/>
    <col min="5" max="5" width="13" customWidth="1"/>
    <col min="6" max="6" width="16" customWidth="1"/>
    <col min="7" max="7" width="52" customWidth="1"/>
  </cols>
  <sheetData>
    <row r="1" spans="1:26" ht="30" customHeight="1" x14ac:dyDescent="0.3">
      <c r="A1" s="21" t="s">
        <v>121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x14ac:dyDescent="0.3">
      <c r="A2" s="23" t="s">
        <v>122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4" spans="1:26" ht="25.95" customHeight="1" x14ac:dyDescent="0.3">
      <c r="A4" s="3" t="s">
        <v>28</v>
      </c>
      <c r="B4" s="3" t="s">
        <v>123</v>
      </c>
      <c r="C4" s="3" t="s">
        <v>124</v>
      </c>
      <c r="D4" s="3" t="s">
        <v>48</v>
      </c>
      <c r="E4" s="3" t="s">
        <v>125</v>
      </c>
      <c r="F4" s="3" t="s">
        <v>126</v>
      </c>
      <c r="G4" s="3" t="s">
        <v>127</v>
      </c>
    </row>
    <row r="5" spans="1:26" x14ac:dyDescent="0.3">
      <c r="A5" s="2" t="s">
        <v>56</v>
      </c>
      <c r="B5" s="2" t="s">
        <v>57</v>
      </c>
      <c r="C5" s="2" t="s">
        <v>128</v>
      </c>
      <c r="D5" s="2" t="s">
        <v>58</v>
      </c>
      <c r="E5" s="2" t="s">
        <v>129</v>
      </c>
      <c r="F5" s="12">
        <v>12</v>
      </c>
      <c r="G5" s="2" t="s">
        <v>130</v>
      </c>
    </row>
    <row r="6" spans="1:26" x14ac:dyDescent="0.3">
      <c r="A6" s="5" t="s">
        <v>56</v>
      </c>
      <c r="B6" s="5" t="s">
        <v>66</v>
      </c>
      <c r="C6" s="5" t="s">
        <v>131</v>
      </c>
      <c r="D6" s="5" t="s">
        <v>58</v>
      </c>
      <c r="E6" s="5" t="s">
        <v>132</v>
      </c>
      <c r="F6" s="13">
        <v>8</v>
      </c>
      <c r="G6" s="5" t="s">
        <v>133</v>
      </c>
    </row>
    <row r="7" spans="1:26" x14ac:dyDescent="0.3">
      <c r="A7" s="2" t="s">
        <v>56</v>
      </c>
      <c r="B7" s="2" t="s">
        <v>71</v>
      </c>
      <c r="C7" s="2" t="s">
        <v>134</v>
      </c>
      <c r="D7" s="2" t="s">
        <v>72</v>
      </c>
      <c r="E7" s="2" t="s">
        <v>135</v>
      </c>
      <c r="F7" s="12">
        <v>25</v>
      </c>
      <c r="G7" s="2" t="s">
        <v>136</v>
      </c>
    </row>
    <row r="8" spans="1:26" x14ac:dyDescent="0.3">
      <c r="A8" s="5" t="s">
        <v>77</v>
      </c>
      <c r="B8" s="5" t="s">
        <v>78</v>
      </c>
      <c r="C8" s="5" t="s">
        <v>137</v>
      </c>
      <c r="D8" s="5" t="s">
        <v>79</v>
      </c>
      <c r="E8" s="5" t="s">
        <v>138</v>
      </c>
      <c r="F8" s="13">
        <v>0</v>
      </c>
      <c r="G8" s="5" t="s">
        <v>139</v>
      </c>
    </row>
    <row r="9" spans="1:26" x14ac:dyDescent="0.3">
      <c r="A9" s="2" t="s">
        <v>77</v>
      </c>
      <c r="B9" s="2" t="s">
        <v>89</v>
      </c>
      <c r="C9" s="2" t="s">
        <v>140</v>
      </c>
      <c r="D9" s="2" t="s">
        <v>58</v>
      </c>
      <c r="E9" s="2" t="s">
        <v>141</v>
      </c>
      <c r="F9" s="12">
        <v>0</v>
      </c>
      <c r="G9" s="2" t="s">
        <v>142</v>
      </c>
    </row>
    <row r="10" spans="1:26" x14ac:dyDescent="0.3">
      <c r="A10" s="5" t="s">
        <v>77</v>
      </c>
      <c r="B10" s="5" t="s">
        <v>92</v>
      </c>
      <c r="C10" s="5" t="s">
        <v>143</v>
      </c>
      <c r="D10" s="5" t="s">
        <v>58</v>
      </c>
      <c r="E10" s="5" t="s">
        <v>144</v>
      </c>
      <c r="F10" s="13">
        <v>0</v>
      </c>
      <c r="G10" s="5" t="s">
        <v>145</v>
      </c>
    </row>
    <row r="11" spans="1:26" ht="26.4" x14ac:dyDescent="0.3">
      <c r="A11" s="2" t="s">
        <v>98</v>
      </c>
      <c r="B11" s="2" t="s">
        <v>99</v>
      </c>
      <c r="C11" s="2" t="s">
        <v>146</v>
      </c>
      <c r="D11" s="2" t="s">
        <v>58</v>
      </c>
      <c r="E11" s="2" t="s">
        <v>147</v>
      </c>
      <c r="F11" s="12">
        <v>40</v>
      </c>
      <c r="G11" s="2" t="s">
        <v>148</v>
      </c>
    </row>
    <row r="12" spans="1:26" x14ac:dyDescent="0.3">
      <c r="A12" s="5" t="s">
        <v>98</v>
      </c>
      <c r="B12" s="5" t="s">
        <v>110</v>
      </c>
      <c r="C12" s="5" t="s">
        <v>149</v>
      </c>
      <c r="D12" s="5" t="s">
        <v>58</v>
      </c>
      <c r="E12" s="5" t="s">
        <v>150</v>
      </c>
      <c r="F12" s="13">
        <v>15</v>
      </c>
      <c r="G12" s="5" t="s">
        <v>151</v>
      </c>
    </row>
    <row r="13" spans="1:26" x14ac:dyDescent="0.3">
      <c r="A13" s="2" t="s">
        <v>98</v>
      </c>
      <c r="B13" s="2" t="s">
        <v>117</v>
      </c>
      <c r="C13" s="2" t="s">
        <v>152</v>
      </c>
      <c r="D13" s="2" t="s">
        <v>72</v>
      </c>
      <c r="E13" s="2" t="s">
        <v>153</v>
      </c>
      <c r="F13" s="12">
        <v>60</v>
      </c>
      <c r="G13" s="2" t="s">
        <v>154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6" customWidth="1"/>
    <col min="2" max="2" width="24" customWidth="1"/>
    <col min="3" max="3" width="14" customWidth="1"/>
    <col min="4" max="4" width="26" customWidth="1"/>
    <col min="5" max="5" width="28" customWidth="1"/>
    <col min="6" max="6" width="26" customWidth="1"/>
    <col min="7" max="7" width="30" customWidth="1"/>
  </cols>
  <sheetData>
    <row r="1" spans="1:26" ht="30" customHeight="1" x14ac:dyDescent="0.3">
      <c r="A1" s="21" t="s">
        <v>155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x14ac:dyDescent="0.3">
      <c r="A2" s="23" t="s">
        <v>156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4" spans="1:26" ht="25.95" customHeight="1" x14ac:dyDescent="0.3">
      <c r="A4" s="14" t="s">
        <v>157</v>
      </c>
      <c r="B4" s="14" t="s">
        <v>47</v>
      </c>
      <c r="C4" s="14" t="s">
        <v>48</v>
      </c>
      <c r="D4" s="14" t="s">
        <v>158</v>
      </c>
      <c r="E4" s="14" t="s">
        <v>159</v>
      </c>
      <c r="F4" s="14" t="s">
        <v>160</v>
      </c>
      <c r="G4" s="14" t="s">
        <v>161</v>
      </c>
    </row>
    <row r="5" spans="1:26" x14ac:dyDescent="0.3">
      <c r="A5" s="2" t="s">
        <v>60</v>
      </c>
      <c r="B5" s="2" t="s">
        <v>57</v>
      </c>
      <c r="C5" s="2" t="s">
        <v>58</v>
      </c>
      <c r="D5" s="2" t="s">
        <v>162</v>
      </c>
      <c r="E5" s="2" t="s">
        <v>163</v>
      </c>
      <c r="F5" s="2" t="s">
        <v>164</v>
      </c>
      <c r="G5" s="2"/>
    </row>
    <row r="6" spans="1:26" ht="26.4" x14ac:dyDescent="0.3">
      <c r="A6" s="5" t="s">
        <v>165</v>
      </c>
      <c r="B6" s="5" t="s">
        <v>71</v>
      </c>
      <c r="C6" s="5" t="s">
        <v>72</v>
      </c>
      <c r="D6" s="5" t="s">
        <v>166</v>
      </c>
      <c r="E6" s="5" t="s">
        <v>167</v>
      </c>
      <c r="F6" s="5" t="s">
        <v>168</v>
      </c>
      <c r="G6" s="5"/>
    </row>
    <row r="7" spans="1:26" ht="26.4" x14ac:dyDescent="0.3">
      <c r="A7" s="2" t="s">
        <v>82</v>
      </c>
      <c r="B7" s="2" t="s">
        <v>78</v>
      </c>
      <c r="C7" s="2" t="s">
        <v>79</v>
      </c>
      <c r="D7" s="2" t="s">
        <v>169</v>
      </c>
      <c r="E7" s="2" t="s">
        <v>170</v>
      </c>
      <c r="F7" s="2"/>
      <c r="G7" s="2" t="s">
        <v>171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3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26" customWidth="1"/>
    <col min="3" max="3" width="72" customWidth="1"/>
    <col min="4" max="4" width="14" customWidth="1"/>
  </cols>
  <sheetData>
    <row r="1" spans="1:26" ht="30" customHeight="1" x14ac:dyDescent="0.3">
      <c r="A1" s="21" t="s">
        <v>172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x14ac:dyDescent="0.3">
      <c r="A2" s="23" t="s">
        <v>173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4" spans="1:26" ht="25.95" customHeight="1" x14ac:dyDescent="0.3">
      <c r="A4" s="15" t="s">
        <v>174</v>
      </c>
      <c r="B4" s="15" t="s">
        <v>175</v>
      </c>
      <c r="C4" s="15" t="s">
        <v>176</v>
      </c>
      <c r="D4" s="15" t="s">
        <v>177</v>
      </c>
    </row>
    <row r="5" spans="1:26" x14ac:dyDescent="0.3">
      <c r="A5" s="2" t="s">
        <v>178</v>
      </c>
      <c r="B5" s="2" t="s">
        <v>179</v>
      </c>
      <c r="C5" s="2" t="s">
        <v>180</v>
      </c>
      <c r="D5" s="2" t="s">
        <v>181</v>
      </c>
    </row>
    <row r="6" spans="1:26" x14ac:dyDescent="0.3">
      <c r="A6" s="5" t="s">
        <v>182</v>
      </c>
      <c r="B6" s="5" t="s">
        <v>183</v>
      </c>
      <c r="C6" s="5" t="s">
        <v>184</v>
      </c>
      <c r="D6" s="5" t="s">
        <v>185</v>
      </c>
    </row>
    <row r="7" spans="1:26" x14ac:dyDescent="0.3">
      <c r="A7" s="2" t="s">
        <v>186</v>
      </c>
      <c r="B7" s="2" t="s">
        <v>187</v>
      </c>
      <c r="C7" s="2" t="s">
        <v>188</v>
      </c>
      <c r="D7" s="2" t="s">
        <v>185</v>
      </c>
    </row>
    <row r="8" spans="1:26" x14ac:dyDescent="0.3">
      <c r="A8" s="5" t="s">
        <v>189</v>
      </c>
      <c r="B8" s="5" t="s">
        <v>190</v>
      </c>
      <c r="C8" s="5" t="s">
        <v>191</v>
      </c>
      <c r="D8" s="5" t="s">
        <v>192</v>
      </c>
    </row>
    <row r="9" spans="1:26" x14ac:dyDescent="0.3">
      <c r="A9" s="2" t="s">
        <v>193</v>
      </c>
      <c r="B9" s="2" t="s">
        <v>194</v>
      </c>
      <c r="C9" s="2" t="s">
        <v>195</v>
      </c>
      <c r="D9" s="2" t="s">
        <v>181</v>
      </c>
    </row>
    <row r="10" spans="1:26" x14ac:dyDescent="0.3">
      <c r="A10" s="5" t="s">
        <v>196</v>
      </c>
      <c r="B10" s="5" t="s">
        <v>197</v>
      </c>
      <c r="C10" s="5" t="s">
        <v>198</v>
      </c>
      <c r="D10" s="5" t="s">
        <v>181</v>
      </c>
    </row>
    <row r="11" spans="1:26" x14ac:dyDescent="0.3">
      <c r="A11" s="2" t="s">
        <v>199</v>
      </c>
      <c r="B11" s="2" t="s">
        <v>200</v>
      </c>
      <c r="C11" s="2" t="s">
        <v>201</v>
      </c>
      <c r="D11" s="2" t="s">
        <v>185</v>
      </c>
    </row>
    <row r="12" spans="1:26" x14ac:dyDescent="0.3">
      <c r="A12" s="5" t="s">
        <v>202</v>
      </c>
      <c r="B12" s="5" t="s">
        <v>203</v>
      </c>
      <c r="C12" s="5" t="s">
        <v>204</v>
      </c>
      <c r="D12" s="5" t="s">
        <v>205</v>
      </c>
    </row>
    <row r="13" spans="1:26" x14ac:dyDescent="0.3">
      <c r="A13" s="2" t="s">
        <v>206</v>
      </c>
      <c r="B13" s="2" t="s">
        <v>207</v>
      </c>
      <c r="C13" s="2" t="s">
        <v>208</v>
      </c>
      <c r="D13" s="2" t="s">
        <v>185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3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0" customWidth="1"/>
    <col min="2" max="2" width="44" customWidth="1"/>
    <col min="3" max="3" width="52" customWidth="1"/>
  </cols>
  <sheetData>
    <row r="1" spans="1:26" ht="30" customHeight="1" x14ac:dyDescent="0.3">
      <c r="A1" s="21" t="s">
        <v>209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4" spans="1:26" ht="25.95" customHeight="1" x14ac:dyDescent="0.3">
      <c r="A4" s="15" t="s">
        <v>210</v>
      </c>
      <c r="B4" s="15" t="s">
        <v>211</v>
      </c>
      <c r="C4" s="15" t="s">
        <v>212</v>
      </c>
    </row>
    <row r="5" spans="1:26" x14ac:dyDescent="0.3">
      <c r="A5" s="2" t="s">
        <v>213</v>
      </c>
      <c r="B5" s="2" t="s">
        <v>214</v>
      </c>
      <c r="C5" s="2" t="s">
        <v>215</v>
      </c>
    </row>
    <row r="6" spans="1:26" x14ac:dyDescent="0.3">
      <c r="A6" s="5" t="s">
        <v>216</v>
      </c>
      <c r="B6" s="5" t="s">
        <v>217</v>
      </c>
      <c r="C6" s="5" t="s">
        <v>218</v>
      </c>
    </row>
    <row r="7" spans="1:26" x14ac:dyDescent="0.3">
      <c r="A7" s="2" t="s">
        <v>219</v>
      </c>
      <c r="B7" s="2" t="s">
        <v>220</v>
      </c>
      <c r="C7" s="2" t="s">
        <v>221</v>
      </c>
    </row>
    <row r="8" spans="1:26" x14ac:dyDescent="0.3">
      <c r="A8" s="5" t="s">
        <v>222</v>
      </c>
      <c r="B8" s="5" t="s">
        <v>223</v>
      </c>
      <c r="C8" s="5" t="s">
        <v>224</v>
      </c>
    </row>
    <row r="9" spans="1:26" x14ac:dyDescent="0.3">
      <c r="A9" s="2" t="s">
        <v>225</v>
      </c>
      <c r="B9" s="2" t="s">
        <v>226</v>
      </c>
      <c r="C9" s="2" t="s">
        <v>227</v>
      </c>
    </row>
    <row r="10" spans="1:26" x14ac:dyDescent="0.3">
      <c r="A10" s="5" t="s">
        <v>228</v>
      </c>
      <c r="B10" s="5" t="s">
        <v>229</v>
      </c>
      <c r="C10" s="5" t="s">
        <v>230</v>
      </c>
    </row>
    <row r="11" spans="1:26" x14ac:dyDescent="0.3">
      <c r="A11" s="2" t="s">
        <v>231</v>
      </c>
      <c r="B11" s="2" t="s">
        <v>232</v>
      </c>
      <c r="C11" s="2" t="s">
        <v>233</v>
      </c>
    </row>
    <row r="12" spans="1:26" x14ac:dyDescent="0.3">
      <c r="A12" s="5" t="s">
        <v>234</v>
      </c>
      <c r="B12" s="5" t="s">
        <v>235</v>
      </c>
      <c r="C12" s="5" t="s">
        <v>236</v>
      </c>
    </row>
    <row r="13" spans="1:26" ht="26.4" x14ac:dyDescent="0.3">
      <c r="A13" s="2" t="s">
        <v>237</v>
      </c>
      <c r="B13" s="2" t="s">
        <v>238</v>
      </c>
      <c r="C13" s="2" t="s">
        <v>239</v>
      </c>
    </row>
  </sheetData>
  <mergeCells count="1">
    <mergeCell ref="A1:Z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8" customWidth="1"/>
    <col min="3" max="3" width="40" customWidth="1"/>
    <col min="4" max="4" width="44" customWidth="1"/>
    <col min="5" max="5" width="26" customWidth="1"/>
  </cols>
  <sheetData>
    <row r="1" spans="1:26" ht="30" customHeight="1" x14ac:dyDescent="0.3">
      <c r="A1" s="21" t="s">
        <v>240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x14ac:dyDescent="0.3">
      <c r="A2" s="23" t="s">
        <v>241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4" spans="1:26" ht="25.95" customHeight="1" x14ac:dyDescent="0.3">
      <c r="A4" s="3" t="s">
        <v>242</v>
      </c>
      <c r="B4" s="3" t="s">
        <v>243</v>
      </c>
      <c r="C4" s="3" t="s">
        <v>244</v>
      </c>
      <c r="D4" s="3" t="s">
        <v>245</v>
      </c>
      <c r="E4" s="3" t="s">
        <v>16</v>
      </c>
    </row>
    <row r="5" spans="1:26" ht="26.4" x14ac:dyDescent="0.3">
      <c r="A5" s="2" t="s">
        <v>246</v>
      </c>
      <c r="B5" s="16">
        <v>0.25</v>
      </c>
      <c r="C5" s="2" t="s">
        <v>247</v>
      </c>
      <c r="D5" s="2" t="s">
        <v>248</v>
      </c>
      <c r="E5" s="2" t="s">
        <v>249</v>
      </c>
    </row>
    <row r="6" spans="1:26" ht="26.4" x14ac:dyDescent="0.3">
      <c r="A6" s="5" t="s">
        <v>250</v>
      </c>
      <c r="B6" s="17">
        <v>0.2</v>
      </c>
      <c r="C6" s="5" t="s">
        <v>251</v>
      </c>
      <c r="D6" s="5" t="s">
        <v>252</v>
      </c>
      <c r="E6" s="5" t="s">
        <v>253</v>
      </c>
    </row>
    <row r="7" spans="1:26" ht="26.4" x14ac:dyDescent="0.3">
      <c r="A7" s="2" t="s">
        <v>254</v>
      </c>
      <c r="B7" s="16">
        <v>0.2</v>
      </c>
      <c r="C7" s="2" t="s">
        <v>255</v>
      </c>
      <c r="D7" s="2" t="s">
        <v>256</v>
      </c>
      <c r="E7" s="2" t="s">
        <v>257</v>
      </c>
    </row>
    <row r="8" spans="1:26" ht="26.4" x14ac:dyDescent="0.3">
      <c r="A8" s="5" t="s">
        <v>258</v>
      </c>
      <c r="B8" s="17">
        <v>0.2</v>
      </c>
      <c r="C8" s="5" t="s">
        <v>259</v>
      </c>
      <c r="D8" s="5" t="s">
        <v>260</v>
      </c>
      <c r="E8" s="5" t="s">
        <v>261</v>
      </c>
    </row>
    <row r="9" spans="1:26" ht="26.4" x14ac:dyDescent="0.3">
      <c r="A9" s="2" t="s">
        <v>262</v>
      </c>
      <c r="B9" s="16">
        <v>0.15</v>
      </c>
      <c r="C9" s="2" t="s">
        <v>263</v>
      </c>
      <c r="D9" s="2" t="s">
        <v>264</v>
      </c>
      <c r="E9" s="2" t="s">
        <v>265</v>
      </c>
    </row>
    <row r="10" spans="1:26" x14ac:dyDescent="0.3">
      <c r="A10" s="7" t="s">
        <v>44</v>
      </c>
      <c r="B10" s="18">
        <f>SUM(B5:B9)</f>
        <v>1</v>
      </c>
      <c r="C10" s="8"/>
      <c r="D10" s="8"/>
      <c r="E10" s="8"/>
    </row>
  </sheetData>
  <mergeCells count="2">
    <mergeCell ref="A1:Z1"/>
    <mergeCell ref="A2:Z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46" customWidth="1"/>
    <col min="2" max="2" width="40" customWidth="1"/>
    <col min="3" max="3" width="16" customWidth="1"/>
  </cols>
  <sheetData>
    <row r="1" spans="1:26" ht="30" customHeight="1" x14ac:dyDescent="0.3">
      <c r="A1" s="21" t="s">
        <v>266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x14ac:dyDescent="0.3">
      <c r="A2" s="23" t="s">
        <v>267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4" spans="1:26" ht="25.95" customHeight="1" x14ac:dyDescent="0.3">
      <c r="A4" s="14" t="s">
        <v>268</v>
      </c>
      <c r="B4" s="14" t="s">
        <v>269</v>
      </c>
      <c r="C4" s="14" t="s">
        <v>270</v>
      </c>
    </row>
    <row r="5" spans="1:26" x14ac:dyDescent="0.3">
      <c r="A5" s="2" t="s">
        <v>271</v>
      </c>
      <c r="B5" s="2" t="s">
        <v>272</v>
      </c>
      <c r="C5" s="19" t="s">
        <v>273</v>
      </c>
    </row>
    <row r="6" spans="1:26" x14ac:dyDescent="0.3">
      <c r="A6" s="5" t="s">
        <v>274</v>
      </c>
      <c r="B6" s="5" t="s">
        <v>275</v>
      </c>
      <c r="C6" s="20" t="s">
        <v>276</v>
      </c>
    </row>
    <row r="7" spans="1:26" x14ac:dyDescent="0.3">
      <c r="A7" s="2" t="s">
        <v>277</v>
      </c>
      <c r="B7" s="2" t="s">
        <v>278</v>
      </c>
      <c r="C7" s="19" t="s">
        <v>279</v>
      </c>
    </row>
    <row r="8" spans="1:26" x14ac:dyDescent="0.3">
      <c r="A8" s="5" t="s">
        <v>280</v>
      </c>
      <c r="B8" s="5" t="s">
        <v>281</v>
      </c>
      <c r="C8" s="20" t="s">
        <v>282</v>
      </c>
    </row>
    <row r="9" spans="1:26" x14ac:dyDescent="0.3">
      <c r="A9" s="2" t="s">
        <v>283</v>
      </c>
      <c r="B9" s="2" t="s">
        <v>284</v>
      </c>
      <c r="C9" s="19" t="s">
        <v>285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2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20" customWidth="1"/>
    <col min="3" max="3" width="60" customWidth="1"/>
    <col min="4" max="4" width="26" customWidth="1"/>
  </cols>
  <sheetData>
    <row r="1" spans="1:26" ht="30" customHeight="1" x14ac:dyDescent="0.3">
      <c r="A1" s="21" t="s">
        <v>286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x14ac:dyDescent="0.3">
      <c r="A2" s="23" t="s">
        <v>287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4" spans="1:26" ht="25.95" customHeight="1" x14ac:dyDescent="0.3">
      <c r="A4" s="15" t="s">
        <v>288</v>
      </c>
      <c r="B4" s="15" t="s">
        <v>289</v>
      </c>
      <c r="C4" s="15" t="s">
        <v>127</v>
      </c>
      <c r="D4" s="15" t="s">
        <v>16</v>
      </c>
    </row>
    <row r="5" spans="1:26" x14ac:dyDescent="0.3">
      <c r="A5" s="2" t="s">
        <v>290</v>
      </c>
      <c r="B5" s="2" t="s">
        <v>237</v>
      </c>
      <c r="C5" s="2" t="s">
        <v>291</v>
      </c>
      <c r="D5" s="2" t="s">
        <v>292</v>
      </c>
    </row>
    <row r="6" spans="1:26" x14ac:dyDescent="0.3">
      <c r="A6" s="5" t="s">
        <v>290</v>
      </c>
      <c r="B6" s="5" t="s">
        <v>293</v>
      </c>
      <c r="C6" s="5" t="s">
        <v>294</v>
      </c>
      <c r="D6" s="5" t="s">
        <v>292</v>
      </c>
    </row>
    <row r="7" spans="1:26" x14ac:dyDescent="0.3">
      <c r="A7" s="2" t="s">
        <v>290</v>
      </c>
      <c r="B7" s="2" t="s">
        <v>234</v>
      </c>
      <c r="C7" s="2" t="s">
        <v>15</v>
      </c>
      <c r="D7" s="2" t="s">
        <v>295</v>
      </c>
    </row>
    <row r="8" spans="1:26" x14ac:dyDescent="0.3">
      <c r="A8" s="5" t="s">
        <v>290</v>
      </c>
      <c r="B8" s="5" t="s">
        <v>296</v>
      </c>
      <c r="C8" s="5" t="s">
        <v>297</v>
      </c>
      <c r="D8" s="5" t="s">
        <v>298</v>
      </c>
    </row>
    <row r="9" spans="1:26" ht="26.4" x14ac:dyDescent="0.3">
      <c r="A9" s="2" t="s">
        <v>299</v>
      </c>
      <c r="B9" s="2" t="s">
        <v>300</v>
      </c>
      <c r="C9" s="2" t="s">
        <v>301</v>
      </c>
      <c r="D9" s="2" t="s">
        <v>302</v>
      </c>
    </row>
    <row r="10" spans="1:26" x14ac:dyDescent="0.3">
      <c r="A10" s="5" t="s">
        <v>299</v>
      </c>
      <c r="B10" s="5" t="s">
        <v>293</v>
      </c>
      <c r="C10" s="5" t="s">
        <v>303</v>
      </c>
      <c r="D10" s="5" t="s">
        <v>302</v>
      </c>
    </row>
    <row r="11" spans="1:26" ht="26.4" x14ac:dyDescent="0.3">
      <c r="A11" s="2" t="s">
        <v>299</v>
      </c>
      <c r="B11" s="2" t="s">
        <v>304</v>
      </c>
      <c r="C11" s="2" t="s">
        <v>305</v>
      </c>
      <c r="D11" s="2" t="s">
        <v>306</v>
      </c>
    </row>
    <row r="12" spans="1:26" x14ac:dyDescent="0.3">
      <c r="A12" s="5" t="s">
        <v>299</v>
      </c>
      <c r="B12" s="5" t="s">
        <v>307</v>
      </c>
      <c r="C12" s="5" t="s">
        <v>308</v>
      </c>
      <c r="D12" s="5" t="s">
        <v>309</v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</vt:lpstr>
      <vt:lpstr>Sectores</vt:lpstr>
      <vt:lpstr>Catalogo</vt:lpstr>
      <vt:lpstr>Negocios</vt:lpstr>
      <vt:lpstr>Sellos Llaneros</vt:lpstr>
      <vt:lpstr>Herramientas IA</vt:lpstr>
      <vt:lpstr>Tecnologia</vt:lpstr>
      <vt:lpstr>Rubrica</vt:lpstr>
      <vt:lpstr>Impacto</vt:lpstr>
      <vt:lpstr>Hoja de ruta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Giancarlo Garcia</cp:lastModifiedBy>
  <dcterms:created xsi:type="dcterms:W3CDTF">2026-08-27T20:57:08Z</dcterms:created>
  <dcterms:modified xsi:type="dcterms:W3CDTF">2026-08-27T20:57:26Z</dcterms:modified>
</cp:coreProperties>
</file>